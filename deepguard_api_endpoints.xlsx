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 Overview" sheetId="1" r:id="rId5"/>
    <sheet state="visible" name="Status Code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<sst xmlns="http://schemas.openxmlformats.org/spreadsheetml/2006/main" count="407" uniqueCount="271">
  <si>
    <t>STT</t>
  </si>
  <si>
    <t>Nhóm</t>
  </si>
  <si>
    <t>Method</t>
  </si>
  <si>
    <t>Path</t>
  </si>
  <si>
    <t>Auth</t>
  </si>
  <si>
    <t>Mô tả</t>
  </si>
  <si>
    <t>Request (params/body)</t>
  </si>
  <si>
    <t>Response chính</t>
  </si>
  <si>
    <t>Status Codes</t>
  </si>
  <si>
    <t>Ghi chú</t>
  </si>
  <si>
    <t>Detection</t>
  </si>
  <si>
    <t>POST</t>
  </si>
  <si>
    <t>/v1/detect/image</t>
  </si>
  <si>
    <t>API Key</t>
  </si>
  <si>
    <t>Phát hiện deepfake từ 1 ảnh khuôn mặt tĩnh</t>
  </si>
  <si>
    <t>Body: image (file JPEG/PNG ≤5MB)
Query: include_heatmap (bool), threshold (float, default 0.6197)</t>
  </si>
  <si>
    <t>request_id, verdict (REAL/FAKE/UNCERTAIN), confidence, prob_fake, prob_cnn, threshold_used, processing_time_ms, model_version, heatmap_b64?, created_at</t>
  </si>
  <si>
    <t>200, 400, 401, 422, 429, 500</t>
  </si>
  <si>
    <t>Endpoint quan trọng nhất. Latency ~150ms</t>
  </si>
  <si>
    <t>/v1/detect/video</t>
  </si>
  <si>
    <t>Phát hiện deepfake từ video (async job)</t>
  </si>
  <si>
    <t>Body: video (file MP4/MOV ≤50MB, ≤60s)
Query: webhook_url?, fps_sample (default 5)</t>
  </si>
  <si>
    <t>job_id, status (PENDING), estimated_seconds, polling_url, created_at</t>
  </si>
  <si>
    <t>202, 400, 401, 413, 429, 500</t>
  </si>
  <si>
    <t>Trả 202 Accepted ngay. Client poll /v1/jobs/{id}</t>
  </si>
  <si>
    <t>GET</t>
  </si>
  <si>
    <t>/v1/jobs/{job_id}</t>
  </si>
  <si>
    <t>Lấy trạng thái và kết quả video job</t>
  </si>
  <si>
    <t>Path: job_id (UUID)</t>
  </si>
  <si>
    <t>job_id, status (PENDING/PROCESSING/COMPLETED/FAILED), verdict, confidence, frame_results[], completed_at</t>
  </si>
  <si>
    <t>200, 401, 404</t>
  </si>
  <si>
    <t>Polling interval recommend: 2-5s</t>
  </si>
  <si>
    <t>/auth/login</t>
  </si>
  <si>
    <t>None</t>
  </si>
  <si>
    <t>Đăng nhập vào Dashboard (Compliance / Admin UI)</t>
  </si>
  <si>
    <t>Body JSON: email, password</t>
  </si>
  <si>
    <t>access_token, refresh_token, expires_in, user{id, name, role, tenant_id}</t>
  </si>
  <si>
    <t>200, 401, 422</t>
  </si>
  <si>
    <t>JWT có hiệu lực 1h, refresh token 7 ngày</t>
  </si>
  <si>
    <t>/auth/refresh</t>
  </si>
  <si>
    <t>Làm mới access token bằng refresh token</t>
  </si>
  <si>
    <t>Body JSON: refresh_token</t>
  </si>
  <si>
    <t>access_token, expires_in</t>
  </si>
  <si>
    <t>200, 401</t>
  </si>
  <si>
    <t>/auth/logout</t>
  </si>
  <si>
    <t>JWT</t>
  </si>
  <si>
    <t>Đăng xuất, invalidate token hiện tại</t>
  </si>
  <si>
    <t>Header: Authorization: Bearer &lt;token&gt;</t>
  </si>
  <si>
    <t>message: 'logged out'</t>
  </si>
  <si>
    <t>Token được add vào blacklist Redis</t>
  </si>
  <si>
    <t>/auth/me</t>
  </si>
  <si>
    <t>Lấy thông tin user đang đăng nhập</t>
  </si>
  <si>
    <t>id, name, email, role, tenant_id, created_at</t>
  </si>
  <si>
    <t>API Keys</t>
  </si>
  <si>
    <t>/v1/api-keys</t>
  </si>
  <si>
    <t>Danh sách tất cả API key của tenant đang login</t>
  </si>
  <si>
    <t>—</t>
  </si>
  <si>
    <t>items[]: {id, name, prefix, status, quota_limit, quota_used, last_used_at, created_at}</t>
  </si>
  <si>
    <t>Tạo API key mới</t>
  </si>
  <si>
    <t>Body JSON: name, quota_limit, rate_limit_rpm</t>
  </si>
  <si>
    <t>id, name, key (plain - chỉ hiển thị 1 lần!), prefix, created_at</t>
  </si>
  <si>
    <t>201, 400, 401, 409</t>
  </si>
  <si>
    <t>Key gốc KHÔNG được lưu lại sau khi tạo. Phải copy ngay</t>
  </si>
  <si>
    <t>/v1/api-keys/{key_id}</t>
  </si>
  <si>
    <t>Lấy chi tiết 1 API key</t>
  </si>
  <si>
    <t>Path: key_id</t>
  </si>
  <si>
    <t>id, name, prefix, status, quota_limit, quota_used, usage_history[]</t>
  </si>
  <si>
    <t>PATCH</t>
  </si>
  <si>
    <t>Cập nhật API key (đổi tên, quota, trạng thái)</t>
  </si>
  <si>
    <t>Path: key_id
Body JSON: name?, quota_limit?, status? (active/suspended)</t>
  </si>
  <si>
    <t>Updated API key object</t>
  </si>
  <si>
    <t>/v1/api-keys/{key_id}/rotate</t>
  </si>
  <si>
    <t>Xoay key mới, key cũ deprecated sau N ngày</t>
  </si>
  <si>
    <t>Path: key_id
Body JSON: deprecation_days (default 7)</t>
  </si>
  <si>
    <t>new_key (plain), old_key_expires_at</t>
  </si>
  <si>
    <t>Cho phép migration không downtime</t>
  </si>
  <si>
    <t>DELETE</t>
  </si>
  <si>
    <t>Thu hồi API key vĩnh viễn</t>
  </si>
  <si>
    <t>message: 'revoked'</t>
  </si>
  <si>
    <t>Soft delete - không thể khôi phục</t>
  </si>
  <si>
    <t>History</t>
  </si>
  <si>
    <t>/v1/detections</t>
  </si>
  <si>
    <t>Liệt kê các detection events với filter</t>
  </si>
  <si>
    <t>Query: verdict?, start_date?, end_date?, confidence_min?, api_key_id?, page=1, limit=20</t>
  </si>
  <si>
    <t>items[]: {request_id, verdict, confidence, api_key_prefix, created_at, processing_time_ms}, total, page, pages</t>
  </si>
  <si>
    <t>Cho Compliance Officer audit</t>
  </si>
  <si>
    <t>/v1/detections/{request_id}</t>
  </si>
  <si>
    <t>Lấy chi tiết 1 detection event</t>
  </si>
  <si>
    <t>Path: request_id (UUID)</t>
  </si>
  <si>
    <t>request_id, verdict, confidence, prob_fake, spatial_score, freq_score, threshold_used, model_version, image_hash, heatmap_url?, processing_time_ms, created_at</t>
  </si>
  <si>
    <t>Image hash dùng SHA-256 - không lưu ảnh gốc</t>
  </si>
  <si>
    <t>/v1/detections/{request_id}/report</t>
  </si>
  <si>
    <t>Tải báo cáo forensic PDF</t>
  </si>
  <si>
    <t>Path: request_id
Query: format=pdf|json</t>
  </si>
  <si>
    <t>PDF binary (Content-Type: application/pdf) hoặc JSON report object</t>
  </si>
  <si>
    <t>Generate báo cáo có chữ ký số nếu enterprise</t>
  </si>
  <si>
    <t>Analytics</t>
  </si>
  <si>
    <t>/v1/analytics/overview</t>
  </si>
  <si>
    <t>Tổng quan metrics theo period</t>
  </si>
  <si>
    <t>Query: period=24h|7d|30d</t>
  </si>
  <si>
    <t>total_requests, fake_detected, fake_rate, avg_latency_ms, p95_latency_ms, quota_used, quota_remaining</t>
  </si>
  <si>
    <t>Hiển thị trên Dashboard Home (S03)</t>
  </si>
  <si>
    <t>/v1/analytics/timeseries</t>
  </si>
  <si>
    <t>Time series data cho charts</t>
  </si>
  <si>
    <t>Query: metric=requests|fake_rate|latency, start, end, interval=1h|1d</t>
  </si>
  <si>
    <t>series[]: {timestamp, value}</t>
  </si>
  <si>
    <t>Dùng cho line/area chart trên Analytics screen</t>
  </si>
  <si>
    <t>/v1/analytics/export</t>
  </si>
  <si>
    <t>Export analytics ra CSV</t>
  </si>
  <si>
    <t>Query: start_date, end_date, format=csv</t>
  </si>
  <si>
    <t>CSV binary (Content-Type: text/csv)</t>
  </si>
  <si>
    <t>Cho compliance reporting hàng tháng</t>
  </si>
  <si>
    <t>Webhooks</t>
  </si>
  <si>
    <t>/v1/webhooks</t>
  </si>
  <si>
    <t>Danh sách webhooks đã đăng ký</t>
  </si>
  <si>
    <t>items[]: {id, url, events[], status, created_at}</t>
  </si>
  <si>
    <t>Đăng ký webhook URL mới</t>
  </si>
  <si>
    <t>Body JSON: url, events[] (job.completed|job.failed|quota.warning), secret? (cho HMAC verify)</t>
  </si>
  <si>
    <t>id, url, events, created_at</t>
  </si>
  <si>
    <t>201, 400, 401</t>
  </si>
  <si>
    <t>Server gửi POST với HMAC-SHA256 signature</t>
  </si>
  <si>
    <t>PUT</t>
  </si>
  <si>
    <t>/v1/webhooks/{webhook_id}</t>
  </si>
  <si>
    <t>Cập nhật webhook (đổi URL hoặc events)</t>
  </si>
  <si>
    <t>Path: webhook_id
Body JSON: url?, events[]?, status? (active/paused)</t>
  </si>
  <si>
    <t>Updated webhook object</t>
  </si>
  <si>
    <t>/v1/webhooks/{webhook_id}/test</t>
  </si>
  <si>
    <t>Gửi test event để verify webhook hoạt động</t>
  </si>
  <si>
    <t>Path: webhook_id</t>
  </si>
  <si>
    <t>delivered (bool), status_code, response_body, latency_ms</t>
  </si>
  <si>
    <t>Gửi payload mock - hữu ích khi setup</t>
  </si>
  <si>
    <t>Xóa webhook</t>
  </si>
  <si>
    <t>message: 'deleted'</t>
  </si>
  <si>
    <t>Users</t>
  </si>
  <si>
    <t>/v1/users</t>
  </si>
  <si>
    <t>JWT (admin)</t>
  </si>
  <si>
    <t>Danh sách user trong tenant</t>
  </si>
  <si>
    <t>items[]: {id, name, email, role, last_login}</t>
  </si>
  <si>
    <t>200, 401, 403</t>
  </si>
  <si>
    <t>Chỉ tenant admin xem được</t>
  </si>
  <si>
    <t>/v1/users/invite</t>
  </si>
  <si>
    <t>Gửi email mời user mới vào tenant</t>
  </si>
  <si>
    <t>Body JSON: email, role (developer|compliance|admin)</t>
  </si>
  <si>
    <t>invitation_id, email, expires_at</t>
  </si>
  <si>
    <t>201, 400, 401, 403, 409</t>
  </si>
  <si>
    <t>Invitation hết hạn sau 7 ngày</t>
  </si>
  <si>
    <t>/v1/users/{user_id}</t>
  </si>
  <si>
    <t>Xóa user khỏi tenant</t>
  </si>
  <si>
    <t>Path: user_id</t>
  </si>
  <si>
    <t>message: 'removed'</t>
  </si>
  <si>
    <t>200, 401, 403, 404</t>
  </si>
  <si>
    <t>Soft delete, audit log lưu lại</t>
  </si>
  <si>
    <t>Admin</t>
  </si>
  <si>
    <t>/admin/tenants</t>
  </si>
  <si>
    <t>JWT (sysadmin)</t>
  </si>
  <si>
    <t>Danh sách tất cả tenants của DeepGuard</t>
  </si>
  <si>
    <t>Query: status?, plan?, page, limit</t>
  </si>
  <si>
    <t>items[]: {id, name, plan, monthly_quota, usage, status, created_at}</t>
  </si>
  <si>
    <t>Chỉ DeepGuard system admin</t>
  </si>
  <si>
    <t>Tạo tenant mới (onboarding khách hàng)</t>
  </si>
  <si>
    <t>Body JSON: name, admin_email, plan (starter|pro|enterprise), monthly_quota</t>
  </si>
  <si>
    <t>Tenant object + initial admin credentials (gửi email)</t>
  </si>
  <si>
    <t>/admin/tenants/{tenant_id}</t>
  </si>
  <si>
    <t>Chi tiết 1 tenant (users, keys, usage)</t>
  </si>
  <si>
    <t>Path: tenant_id</t>
  </si>
  <si>
    <t>Full tenant object + users[], api_keys[], usage_30d</t>
  </si>
  <si>
    <t>Cập nhật tenant (đổi plan, quota, suspend)</t>
  </si>
  <si>
    <t>Path: tenant_id
Body JSON: plan?, monthly_quota?, status? (active/suspended)</t>
  </si>
  <si>
    <t>Updated tenant object</t>
  </si>
  <si>
    <t>Suspend → ngắt tất cả API key của tenant</t>
  </si>
  <si>
    <t>System</t>
  </si>
  <si>
    <t>/health</t>
  </si>
  <si>
    <t>Health check tổng quát</t>
  </si>
  <si>
    <t>status (ok|degraded), version, uptime_seconds</t>
  </si>
  <si>
    <t>200, 503</t>
  </si>
  <si>
    <t>Load balancer dùng để route traffic</t>
  </si>
  <si>
    <t>/health/ready</t>
  </si>
  <si>
    <t>Readiness probe (Kubernetes)</t>
  </si>
  <si>
    <t>db (ok|fail), redis (ok|fail), model (ok|fail)</t>
  </si>
  <si>
    <t>K8s liveness/readiness probe</t>
  </si>
  <si>
    <t>/metrics</t>
  </si>
  <si>
    <t>Prometheus metrics endpoint</t>
  </si>
  <si>
    <t>Prometheus text format (scrape format)</t>
  </si>
  <si>
    <t>200</t>
  </si>
  <si>
    <t>Scrape interval: 15s</t>
  </si>
  <si>
    <t>/admin/models</t>
  </si>
  <si>
    <t>Danh sách model versions deployed</t>
  </si>
  <si>
    <t>items[]: {version, architecture, auc_celeb, auc_ffpp, threshold, deployed_at, is_active}</t>
  </si>
  <si>
    <t>Cho A/B test giữa các model</t>
  </si>
  <si>
    <t>Code</t>
  </si>
  <si>
    <t>Tên</t>
  </si>
  <si>
    <t>Loại</t>
  </si>
  <si>
    <t>Ý nghĩa trong DeepGuard</t>
  </si>
  <si>
    <t>Khi nào gặp</t>
  </si>
  <si>
    <t>OK</t>
  </si>
  <si>
    <t>Success</t>
  </si>
  <si>
    <t>Request thành công</t>
  </si>
  <si>
    <t>Hầu hết GET, PATCH thành công</t>
  </si>
  <si>
    <t>Created</t>
  </si>
  <si>
    <t>Resource đã được tạo</t>
  </si>
  <si>
    <t>POST tạo API key, webhook, tenant</t>
  </si>
  <si>
    <t>Accepted</t>
  </si>
  <si>
    <t>Request đã nhận, xử lý async</t>
  </si>
  <si>
    <t>POST /v1/detect/video (job pending)</t>
  </si>
  <si>
    <t>Bad Request</t>
  </si>
  <si>
    <t>Client error</t>
  </si>
  <si>
    <t>Request không hợp lệ</t>
  </si>
  <si>
    <t>File quá lớn, định dạng không hỗ trợ, missing field</t>
  </si>
  <si>
    <t>Unauthorized</t>
  </si>
  <si>
    <t>Không có/sai credentials</t>
  </si>
  <si>
    <t>Thiếu X-API-Key, JWT expired, sai password</t>
  </si>
  <si>
    <t>Forbidden</t>
  </si>
  <si>
    <t>Đã auth nhưng không có quyền</t>
  </si>
  <si>
    <t>User non-admin gọi endpoint admin</t>
  </si>
  <si>
    <t>Not Found</t>
  </si>
  <si>
    <t>Resource không tồn tại</t>
  </si>
  <si>
    <t>request_id, key_id, tenant_id không tồn tại</t>
  </si>
  <si>
    <t>Conflict</t>
  </si>
  <si>
    <t>Resource bị duplicate hoặc conflict</t>
  </si>
  <si>
    <t>Email đã tồn tại, tên API key trùng</t>
  </si>
  <si>
    <t>Payload Too Large</t>
  </si>
  <si>
    <t>Body request quá lớn</t>
  </si>
  <si>
    <t>Video &gt; 50MB</t>
  </si>
  <si>
    <t>Unprocessable Entity</t>
  </si>
  <si>
    <t>Request hợp lệ nhưng không xử lý được</t>
  </si>
  <si>
    <t>NO_FACE_DETECTED trong ảnh upload</t>
  </si>
  <si>
    <t>Too Many Requests</t>
  </si>
  <si>
    <t>Vượt quá rate limit hoặc quota</t>
  </si>
  <si>
    <t>Header Retry-After cho biết khi nào retry</t>
  </si>
  <si>
    <t>Internal Server Error</t>
  </si>
  <si>
    <t>Server error</t>
  </si>
  <si>
    <t>Lỗi không xử lý được trong server</t>
  </si>
  <si>
    <t>Model crash, exception không bắt được</t>
  </si>
  <si>
    <t>Service Unavailable</t>
  </si>
  <si>
    <t>Hệ thống quá tải hoặc maintenance</t>
  </si>
  <si>
    <t>Model service down, /health trả 503</t>
  </si>
  <si>
    <t>DeepGuard API - Endpoint Summary</t>
  </si>
  <si>
    <t>Metric</t>
  </si>
  <si>
    <t>Value</t>
  </si>
  <si>
    <t>Formula</t>
  </si>
  <si>
    <t>Total endpoints</t>
  </si>
  <si>
    <t>GET endpoints</t>
  </si>
  <si>
    <t>COUNTIF method=GET</t>
  </si>
  <si>
    <t>POST endpoints</t>
  </si>
  <si>
    <t>COUNTIF method=POST</t>
  </si>
  <si>
    <t>PUT endpoints</t>
  </si>
  <si>
    <t>COUNTIF method=PUT</t>
  </si>
  <si>
    <t>PATCH endpoints</t>
  </si>
  <si>
    <t>COUNTIF method=PATCH</t>
  </si>
  <si>
    <t>DELETE endpoints</t>
  </si>
  <si>
    <t>COUNTIF method=DELETE</t>
  </si>
  <si>
    <t>Public endpoints</t>
  </si>
  <si>
    <t>Không cần auth</t>
  </si>
  <si>
    <t>API Key auth</t>
  </si>
  <si>
    <t>Cho backend integration</t>
  </si>
  <si>
    <t>JWT auth (regular)</t>
  </si>
  <si>
    <t>Cho dashboard users</t>
  </si>
  <si>
    <t>JWT admin</t>
  </si>
  <si>
    <t>Tenant admin role</t>
  </si>
  <si>
    <t>JWT sysadmin</t>
  </si>
  <si>
    <t>DeepGuard ops team</t>
  </si>
  <si>
    <t>Nhóm Detection</t>
  </si>
  <si>
    <t>Core API</t>
  </si>
  <si>
    <t>Nhóm Auth</t>
  </si>
  <si>
    <t>Nhóm API Keys</t>
  </si>
  <si>
    <t>Nhóm History</t>
  </si>
  <si>
    <t>Nhóm Analytics</t>
  </si>
  <si>
    <t>Nhóm Webhooks</t>
  </si>
  <si>
    <t>Nhóm Users</t>
  </si>
  <si>
    <t>Nhóm Admin</t>
  </si>
  <si>
    <t>Nhóm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</si>
</sst>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27500A"/>
      <name val="Arial"/>
    </font>
    <font>
      <sz val="10.0"/>
      <color theme="1"/>
      <name val="Consolas"/>
    </font>
    <font>
      <sz val="9.0"/>
      <color rgb="FF633806"/>
      <name val="Arial"/>
    </font>
    <font>
      <sz val="9.0"/>
      <color theme="1"/>
      <name val="Consolas"/>
    </font>
    <font>
      <i/>
      <sz val="9.0"/>
      <color rgb="FF666666"/>
      <name val="Arial"/>
    </font>
    <font>
      <b/>
      <sz val="10.0"/>
      <color rgb="FF0C447C"/>
      <name val="Arial"/>
    </font>
    <font>
      <sz val="9.0"/>
      <color rgb="FF085041"/>
      <name val="Arial"/>
    </font>
    <font>
      <b/>
      <sz val="10.0"/>
      <color rgb="FF085041"/>
      <name val="Arial"/>
    </font>
    <font>
      <b/>
      <sz val="10.0"/>
      <color rgb="FF791F1F"/>
      <name val="Arial"/>
    </font>
    <font>
      <b/>
      <sz val="10.0"/>
      <color rgb="FF633806"/>
      <name val="Arial"/>
    </font>
    <font>
      <b/>
      <sz val="11.0"/>
      <color theme="1"/>
      <name val="Consolas"/>
    </font>
    <font>
      <sz val="11.0"/>
      <color theme="1"/>
      <name val="Calibri"/>
    </font>
    <font>
      <i/>
      <sz val="9.0"/>
      <color rgb="FF555555"/>
      <name val="Arial"/>
    </font>
    <font>
      <b/>
      <sz val="14.0"/>
      <color rgb="FF1F4E7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CEBEB"/>
        <bgColor rgb="FFFCEBEB"/>
      </patternFill>
    </fill>
    <fill>
      <patternFill patternType="solid">
        <fgColor rgb="FFFBEAF0"/>
        <bgColor rgb="FFFBEAF0"/>
      </patternFill>
    </fill>
    <fill>
      <patternFill patternType="solid">
        <fgColor rgb="FFFAECE7"/>
        <bgColor rgb="FFFAECE7"/>
      </patternFill>
    </fill>
    <fill>
      <patternFill patternType="solid">
        <fgColor rgb="FFF1EFE8"/>
        <bgColor rgb="FFF1EFE8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2" fillId="3" fontId="3" numFmtId="0" xfId="0" applyAlignment="1" applyBorder="1" applyFill="1" applyFont="1">
      <alignment horizontal="left" shrinkToFit="0" vertical="top" wrapText="1"/>
    </xf>
    <xf borderId="2" fillId="4" fontId="4" numFmtId="0" xfId="0" applyAlignment="1" applyBorder="1" applyFill="1" applyFont="1">
      <alignment horizontal="center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5" fontId="6" numFmtId="0" xfId="0" applyAlignment="1" applyBorder="1" applyFill="1" applyFont="1">
      <alignment horizontal="center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2" fillId="3" fontId="9" numFmtId="0" xfId="0" applyAlignment="1" applyBorder="1" applyFont="1">
      <alignment horizontal="center" shrinkToFit="0" vertical="top" wrapText="1"/>
    </xf>
    <xf borderId="2" fillId="6" fontId="3" numFmtId="0" xfId="0" applyAlignment="1" applyBorder="1" applyFill="1" applyFont="1">
      <alignment horizontal="left" shrinkToFit="0" vertical="top" wrapText="1"/>
    </xf>
    <xf borderId="2" fillId="0" fontId="8" numFmtId="0" xfId="0" applyAlignment="1" applyBorder="1" applyFont="1">
      <alignment horizontal="center" shrinkToFit="0" vertical="top" wrapText="1"/>
    </xf>
    <xf borderId="2" fillId="7" fontId="10" numFmtId="0" xfId="0" applyAlignment="1" applyBorder="1" applyFill="1" applyFont="1">
      <alignment horizontal="center" shrinkToFit="0" vertical="top" wrapText="1"/>
    </xf>
    <xf borderId="2" fillId="4" fontId="3" numFmtId="0" xfId="0" applyAlignment="1" applyBorder="1" applyFont="1">
      <alignment horizontal="left" shrinkToFit="0" vertical="top" wrapText="1"/>
    </xf>
    <xf borderId="2" fillId="7" fontId="11" numFmtId="0" xfId="0" applyAlignment="1" applyBorder="1" applyFont="1">
      <alignment horizontal="center" shrinkToFit="0" vertical="top" wrapText="1"/>
    </xf>
    <xf borderId="2" fillId="8" fontId="12" numFmtId="0" xfId="0" applyAlignment="1" applyBorder="1" applyFill="1" applyFont="1">
      <alignment horizontal="center" shrinkToFit="0" vertical="top" wrapText="1"/>
    </xf>
    <xf borderId="2" fillId="5" fontId="3" numFmtId="0" xfId="0" applyAlignment="1" applyBorder="1" applyFont="1">
      <alignment horizontal="left" shrinkToFit="0" vertical="top" wrapText="1"/>
    </xf>
    <xf borderId="2" fillId="7" fontId="3" numFmtId="0" xfId="0" applyAlignment="1" applyBorder="1" applyFont="1">
      <alignment horizontal="left" shrinkToFit="0" vertical="top" wrapText="1"/>
    </xf>
    <xf borderId="2" fillId="9" fontId="3" numFmtId="0" xfId="0" applyAlignment="1" applyBorder="1" applyFill="1" applyFont="1">
      <alignment horizontal="left" shrinkToFit="0" vertical="top" wrapText="1"/>
    </xf>
    <xf borderId="2" fillId="5" fontId="13" numFmtId="0" xfId="0" applyAlignment="1" applyBorder="1" applyFont="1">
      <alignment horizontal="center" shrinkToFit="0" vertical="top" wrapText="1"/>
    </xf>
    <xf borderId="2" fillId="10" fontId="3" numFmtId="0" xfId="0" applyAlignment="1" applyBorder="1" applyFill="1" applyFont="1">
      <alignment horizontal="left" shrinkToFit="0" vertical="top" wrapText="1"/>
    </xf>
    <xf borderId="2" fillId="8" fontId="3" numFmtId="0" xfId="0" applyAlignment="1" applyBorder="1" applyFont="1">
      <alignment horizontal="left" shrinkToFit="0" vertical="top" wrapText="1"/>
    </xf>
    <xf borderId="2" fillId="11" fontId="3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center" shrinkToFit="0" vertical="center" wrapText="0"/>
    </xf>
    <xf borderId="2" fillId="0" fontId="14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4" fontId="15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2" fillId="5" fontId="15" numFmtId="0" xfId="0" applyAlignment="1" applyBorder="1" applyFont="1">
      <alignment horizontal="center" shrinkToFit="0" vertical="center" wrapText="1"/>
    </xf>
    <xf borderId="2" fillId="8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10.0"/>
    <col customWidth="1" min="4" max="4" width="38.0"/>
    <col customWidth="1" min="5" max="5" width="16.0"/>
    <col customWidth="1" min="6" max="6" width="35.0"/>
    <col customWidth="1" min="7" max="7" width="45.0"/>
    <col customWidth="1" min="8" max="8" width="50.0"/>
    <col customWidth="1" min="9" max="9" width="22.0"/>
    <col customWidth="1" min="10" max="10" width="35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9.75" customHeight="1">
      <c r="A2" s="2">
        <v>1.0</v>
      </c>
      <c r="B2" s="3" t="s">
        <v>10</v>
      </c>
      <c r="C2" s="4" t="s">
        <v>11</v>
      </c>
      <c r="D2" s="5" t="s">
        <v>12</v>
      </c>
      <c r="E2" s="6" t="s">
        <v>13</v>
      </c>
      <c r="F2" s="2" t="s">
        <v>14</v>
      </c>
      <c r="G2" s="2" t="s">
        <v>15</v>
      </c>
      <c r="H2" s="2" t="s">
        <v>16</v>
      </c>
      <c r="I2" s="7" t="s">
        <v>17</v>
      </c>
      <c r="J2" s="8" t="s">
        <v>18</v>
      </c>
    </row>
    <row r="3" ht="69.75" customHeight="1">
      <c r="A3" s="2">
        <v>2.0</v>
      </c>
      <c r="B3" s="3" t="s">
        <v>10</v>
      </c>
      <c r="C3" s="4" t="s">
        <v>11</v>
      </c>
      <c r="D3" s="5" t="s">
        <v>19</v>
      </c>
      <c r="E3" s="6" t="s">
        <v>13</v>
      </c>
      <c r="F3" s="2" t="s">
        <v>20</v>
      </c>
      <c r="G3" s="2" t="s">
        <v>21</v>
      </c>
      <c r="H3" s="2" t="s">
        <v>22</v>
      </c>
      <c r="I3" s="7" t="s">
        <v>23</v>
      </c>
      <c r="J3" s="8" t="s">
        <v>24</v>
      </c>
    </row>
    <row r="4" ht="69.75" customHeight="1">
      <c r="A4" s="2">
        <v>3.0</v>
      </c>
      <c r="B4" s="3" t="s">
        <v>10</v>
      </c>
      <c r="C4" s="9" t="s">
        <v>25</v>
      </c>
      <c r="D4" s="5" t="s">
        <v>26</v>
      </c>
      <c r="E4" s="6" t="s">
        <v>13</v>
      </c>
      <c r="F4" s="2" t="s">
        <v>27</v>
      </c>
      <c r="G4" s="2" t="s">
        <v>28</v>
      </c>
      <c r="H4" s="2" t="s">
        <v>29</v>
      </c>
      <c r="I4" s="7" t="s">
        <v>30</v>
      </c>
      <c r="J4" s="8" t="s">
        <v>31</v>
      </c>
    </row>
    <row r="5" ht="69.75" customHeight="1">
      <c r="A5" s="2">
        <v>4.0</v>
      </c>
      <c r="B5" s="10" t="s">
        <v>4</v>
      </c>
      <c r="C5" s="4" t="s">
        <v>11</v>
      </c>
      <c r="D5" s="5" t="s">
        <v>32</v>
      </c>
      <c r="E5" s="11" t="s">
        <v>33</v>
      </c>
      <c r="F5" s="2" t="s">
        <v>34</v>
      </c>
      <c r="G5" s="2" t="s">
        <v>35</v>
      </c>
      <c r="H5" s="2" t="s">
        <v>36</v>
      </c>
      <c r="I5" s="7" t="s">
        <v>37</v>
      </c>
      <c r="J5" s="8" t="s">
        <v>38</v>
      </c>
    </row>
    <row r="6" ht="69.75" customHeight="1">
      <c r="A6" s="2">
        <v>5.0</v>
      </c>
      <c r="B6" s="10" t="s">
        <v>4</v>
      </c>
      <c r="C6" s="4" t="s">
        <v>11</v>
      </c>
      <c r="D6" s="5" t="s">
        <v>39</v>
      </c>
      <c r="E6" s="11" t="s">
        <v>33</v>
      </c>
      <c r="F6" s="2" t="s">
        <v>40</v>
      </c>
      <c r="G6" s="2" t="s">
        <v>41</v>
      </c>
      <c r="H6" s="2" t="s">
        <v>42</v>
      </c>
      <c r="I6" s="7" t="s">
        <v>43</v>
      </c>
      <c r="J6" s="8"/>
    </row>
    <row r="7" ht="69.75" customHeight="1">
      <c r="A7" s="2">
        <v>6.0</v>
      </c>
      <c r="B7" s="10" t="s">
        <v>4</v>
      </c>
      <c r="C7" s="4" t="s">
        <v>11</v>
      </c>
      <c r="D7" s="5" t="s">
        <v>44</v>
      </c>
      <c r="E7" s="12" t="s">
        <v>45</v>
      </c>
      <c r="F7" s="2" t="s">
        <v>46</v>
      </c>
      <c r="G7" s="2" t="s">
        <v>47</v>
      </c>
      <c r="H7" s="2" t="s">
        <v>48</v>
      </c>
      <c r="I7" s="7" t="s">
        <v>43</v>
      </c>
      <c r="J7" s="8" t="s">
        <v>49</v>
      </c>
    </row>
    <row r="8" ht="69.75" customHeight="1">
      <c r="A8" s="2">
        <v>7.0</v>
      </c>
      <c r="B8" s="10" t="s">
        <v>4</v>
      </c>
      <c r="C8" s="9" t="s">
        <v>25</v>
      </c>
      <c r="D8" s="5" t="s">
        <v>50</v>
      </c>
      <c r="E8" s="12" t="s">
        <v>45</v>
      </c>
      <c r="F8" s="2" t="s">
        <v>51</v>
      </c>
      <c r="G8" s="2" t="s">
        <v>47</v>
      </c>
      <c r="H8" s="2" t="s">
        <v>52</v>
      </c>
      <c r="I8" s="7" t="s">
        <v>43</v>
      </c>
      <c r="J8" s="8"/>
    </row>
    <row r="9" ht="69.75" customHeight="1">
      <c r="A9" s="2">
        <v>8.0</v>
      </c>
      <c r="B9" s="13" t="s">
        <v>53</v>
      </c>
      <c r="C9" s="9" t="s">
        <v>25</v>
      </c>
      <c r="D9" s="5" t="s">
        <v>54</v>
      </c>
      <c r="E9" s="12" t="s">
        <v>45</v>
      </c>
      <c r="F9" s="2" t="s">
        <v>55</v>
      </c>
      <c r="G9" s="2" t="s">
        <v>56</v>
      </c>
      <c r="H9" s="2" t="s">
        <v>57</v>
      </c>
      <c r="I9" s="7" t="s">
        <v>43</v>
      </c>
      <c r="J9" s="8"/>
    </row>
    <row r="10" ht="69.75" customHeight="1">
      <c r="A10" s="2">
        <v>9.0</v>
      </c>
      <c r="B10" s="13" t="s">
        <v>53</v>
      </c>
      <c r="C10" s="4" t="s">
        <v>11</v>
      </c>
      <c r="D10" s="5" t="s">
        <v>54</v>
      </c>
      <c r="E10" s="12" t="s">
        <v>45</v>
      </c>
      <c r="F10" s="2" t="s">
        <v>58</v>
      </c>
      <c r="G10" s="2" t="s">
        <v>59</v>
      </c>
      <c r="H10" s="2" t="s">
        <v>60</v>
      </c>
      <c r="I10" s="7" t="s">
        <v>61</v>
      </c>
      <c r="J10" s="8" t="s">
        <v>62</v>
      </c>
    </row>
    <row r="11" ht="69.75" customHeight="1">
      <c r="A11" s="2">
        <v>10.0</v>
      </c>
      <c r="B11" s="13" t="s">
        <v>53</v>
      </c>
      <c r="C11" s="9" t="s">
        <v>25</v>
      </c>
      <c r="D11" s="5" t="s">
        <v>63</v>
      </c>
      <c r="E11" s="12" t="s">
        <v>45</v>
      </c>
      <c r="F11" s="2" t="s">
        <v>64</v>
      </c>
      <c r="G11" s="2" t="s">
        <v>65</v>
      </c>
      <c r="H11" s="2" t="s">
        <v>66</v>
      </c>
      <c r="I11" s="7" t="s">
        <v>30</v>
      </c>
      <c r="J11" s="8"/>
    </row>
    <row r="12" ht="69.75" customHeight="1">
      <c r="A12" s="2">
        <v>11.0</v>
      </c>
      <c r="B12" s="13" t="s">
        <v>53</v>
      </c>
      <c r="C12" s="14" t="s">
        <v>67</v>
      </c>
      <c r="D12" s="5" t="s">
        <v>63</v>
      </c>
      <c r="E12" s="12" t="s">
        <v>45</v>
      </c>
      <c r="F12" s="2" t="s">
        <v>68</v>
      </c>
      <c r="G12" s="2" t="s">
        <v>69</v>
      </c>
      <c r="H12" s="2" t="s">
        <v>70</v>
      </c>
      <c r="I12" s="7" t="s">
        <v>30</v>
      </c>
      <c r="J12" s="8"/>
    </row>
    <row r="13" ht="69.75" customHeight="1">
      <c r="A13" s="2">
        <v>12.0</v>
      </c>
      <c r="B13" s="13" t="s">
        <v>53</v>
      </c>
      <c r="C13" s="4" t="s">
        <v>11</v>
      </c>
      <c r="D13" s="5" t="s">
        <v>71</v>
      </c>
      <c r="E13" s="12" t="s">
        <v>45</v>
      </c>
      <c r="F13" s="2" t="s">
        <v>72</v>
      </c>
      <c r="G13" s="2" t="s">
        <v>73</v>
      </c>
      <c r="H13" s="2" t="s">
        <v>74</v>
      </c>
      <c r="I13" s="7" t="s">
        <v>30</v>
      </c>
      <c r="J13" s="8" t="s">
        <v>75</v>
      </c>
    </row>
    <row r="14" ht="69.75" customHeight="1">
      <c r="A14" s="2">
        <v>13.0</v>
      </c>
      <c r="B14" s="13" t="s">
        <v>53</v>
      </c>
      <c r="C14" s="15" t="s">
        <v>76</v>
      </c>
      <c r="D14" s="5" t="s">
        <v>63</v>
      </c>
      <c r="E14" s="12" t="s">
        <v>45</v>
      </c>
      <c r="F14" s="2" t="s">
        <v>77</v>
      </c>
      <c r="G14" s="2" t="s">
        <v>65</v>
      </c>
      <c r="H14" s="2" t="s">
        <v>78</v>
      </c>
      <c r="I14" s="7" t="s">
        <v>30</v>
      </c>
      <c r="J14" s="8" t="s">
        <v>79</v>
      </c>
    </row>
    <row r="15" ht="69.75" customHeight="1">
      <c r="A15" s="2">
        <v>14.0</v>
      </c>
      <c r="B15" s="16" t="s">
        <v>80</v>
      </c>
      <c r="C15" s="9" t="s">
        <v>25</v>
      </c>
      <c r="D15" s="5" t="s">
        <v>81</v>
      </c>
      <c r="E15" s="12" t="s">
        <v>45</v>
      </c>
      <c r="F15" s="2" t="s">
        <v>82</v>
      </c>
      <c r="G15" s="2" t="s">
        <v>83</v>
      </c>
      <c r="H15" s="2" t="s">
        <v>84</v>
      </c>
      <c r="I15" s="7" t="s">
        <v>43</v>
      </c>
      <c r="J15" s="8" t="s">
        <v>85</v>
      </c>
    </row>
    <row r="16" ht="69.75" customHeight="1">
      <c r="A16" s="2">
        <v>15.0</v>
      </c>
      <c r="B16" s="16" t="s">
        <v>80</v>
      </c>
      <c r="C16" s="9" t="s">
        <v>25</v>
      </c>
      <c r="D16" s="5" t="s">
        <v>86</v>
      </c>
      <c r="E16" s="12" t="s">
        <v>45</v>
      </c>
      <c r="F16" s="2" t="s">
        <v>87</v>
      </c>
      <c r="G16" s="2" t="s">
        <v>88</v>
      </c>
      <c r="H16" s="2" t="s">
        <v>89</v>
      </c>
      <c r="I16" s="7" t="s">
        <v>30</v>
      </c>
      <c r="J16" s="8" t="s">
        <v>90</v>
      </c>
    </row>
    <row r="17" ht="69.75" customHeight="1">
      <c r="A17" s="2">
        <v>16.0</v>
      </c>
      <c r="B17" s="16" t="s">
        <v>80</v>
      </c>
      <c r="C17" s="9" t="s">
        <v>25</v>
      </c>
      <c r="D17" s="5" t="s">
        <v>91</v>
      </c>
      <c r="E17" s="12" t="s">
        <v>45</v>
      </c>
      <c r="F17" s="2" t="s">
        <v>92</v>
      </c>
      <c r="G17" s="2" t="s">
        <v>93</v>
      </c>
      <c r="H17" s="2" t="s">
        <v>94</v>
      </c>
      <c r="I17" s="7" t="s">
        <v>30</v>
      </c>
      <c r="J17" s="8" t="s">
        <v>95</v>
      </c>
    </row>
    <row r="18" ht="69.75" customHeight="1">
      <c r="A18" s="2">
        <v>17.0</v>
      </c>
      <c r="B18" s="17" t="s">
        <v>96</v>
      </c>
      <c r="C18" s="9" t="s">
        <v>25</v>
      </c>
      <c r="D18" s="5" t="s">
        <v>97</v>
      </c>
      <c r="E18" s="12" t="s">
        <v>45</v>
      </c>
      <c r="F18" s="2" t="s">
        <v>98</v>
      </c>
      <c r="G18" s="2" t="s">
        <v>99</v>
      </c>
      <c r="H18" s="2" t="s">
        <v>100</v>
      </c>
      <c r="I18" s="7" t="s">
        <v>43</v>
      </c>
      <c r="J18" s="8" t="s">
        <v>101</v>
      </c>
    </row>
    <row r="19" ht="69.75" customHeight="1">
      <c r="A19" s="2">
        <v>18.0</v>
      </c>
      <c r="B19" s="17" t="s">
        <v>96</v>
      </c>
      <c r="C19" s="9" t="s">
        <v>25</v>
      </c>
      <c r="D19" s="5" t="s">
        <v>102</v>
      </c>
      <c r="E19" s="12" t="s">
        <v>45</v>
      </c>
      <c r="F19" s="2" t="s">
        <v>103</v>
      </c>
      <c r="G19" s="2" t="s">
        <v>104</v>
      </c>
      <c r="H19" s="2" t="s">
        <v>105</v>
      </c>
      <c r="I19" s="7" t="s">
        <v>43</v>
      </c>
      <c r="J19" s="8" t="s">
        <v>106</v>
      </c>
    </row>
    <row r="20" ht="69.75" customHeight="1">
      <c r="A20" s="2">
        <v>19.0</v>
      </c>
      <c r="B20" s="17" t="s">
        <v>96</v>
      </c>
      <c r="C20" s="9" t="s">
        <v>25</v>
      </c>
      <c r="D20" s="5" t="s">
        <v>107</v>
      </c>
      <c r="E20" s="12" t="s">
        <v>45</v>
      </c>
      <c r="F20" s="2" t="s">
        <v>108</v>
      </c>
      <c r="G20" s="2" t="s">
        <v>109</v>
      </c>
      <c r="H20" s="2" t="s">
        <v>110</v>
      </c>
      <c r="I20" s="7" t="s">
        <v>43</v>
      </c>
      <c r="J20" s="8" t="s">
        <v>111</v>
      </c>
    </row>
    <row r="21" ht="69.75" customHeight="1">
      <c r="A21" s="2">
        <v>20.0</v>
      </c>
      <c r="B21" s="18" t="s">
        <v>112</v>
      </c>
      <c r="C21" s="9" t="s">
        <v>25</v>
      </c>
      <c r="D21" s="5" t="s">
        <v>113</v>
      </c>
      <c r="E21" s="12" t="s">
        <v>45</v>
      </c>
      <c r="F21" s="2" t="s">
        <v>114</v>
      </c>
      <c r="G21" s="2" t="s">
        <v>56</v>
      </c>
      <c r="H21" s="2" t="s">
        <v>115</v>
      </c>
      <c r="I21" s="7" t="s">
        <v>43</v>
      </c>
      <c r="J21" s="8"/>
    </row>
    <row r="22" ht="69.75" customHeight="1">
      <c r="A22" s="2">
        <v>21.0</v>
      </c>
      <c r="B22" s="18" t="s">
        <v>112</v>
      </c>
      <c r="C22" s="4" t="s">
        <v>11</v>
      </c>
      <c r="D22" s="5" t="s">
        <v>113</v>
      </c>
      <c r="E22" s="12" t="s">
        <v>45</v>
      </c>
      <c r="F22" s="2" t="s">
        <v>116</v>
      </c>
      <c r="G22" s="2" t="s">
        <v>117</v>
      </c>
      <c r="H22" s="2" t="s">
        <v>118</v>
      </c>
      <c r="I22" s="7" t="s">
        <v>119</v>
      </c>
      <c r="J22" s="8" t="s">
        <v>120</v>
      </c>
    </row>
    <row r="23" ht="69.75" customHeight="1">
      <c r="A23" s="2">
        <v>22.0</v>
      </c>
      <c r="B23" s="18" t="s">
        <v>112</v>
      </c>
      <c r="C23" s="19" t="s">
        <v>121</v>
      </c>
      <c r="D23" s="5" t="s">
        <v>122</v>
      </c>
      <c r="E23" s="12" t="s">
        <v>45</v>
      </c>
      <c r="F23" s="2" t="s">
        <v>123</v>
      </c>
      <c r="G23" s="2" t="s">
        <v>124</v>
      </c>
      <c r="H23" s="2" t="s">
        <v>125</v>
      </c>
      <c r="I23" s="7" t="s">
        <v>30</v>
      </c>
      <c r="J23" s="8"/>
    </row>
    <row r="24" ht="69.75" customHeight="1">
      <c r="A24" s="2">
        <v>23.0</v>
      </c>
      <c r="B24" s="18" t="s">
        <v>112</v>
      </c>
      <c r="C24" s="4" t="s">
        <v>11</v>
      </c>
      <c r="D24" s="5" t="s">
        <v>126</v>
      </c>
      <c r="E24" s="12" t="s">
        <v>45</v>
      </c>
      <c r="F24" s="2" t="s">
        <v>127</v>
      </c>
      <c r="G24" s="2" t="s">
        <v>128</v>
      </c>
      <c r="H24" s="2" t="s">
        <v>129</v>
      </c>
      <c r="I24" s="7" t="s">
        <v>30</v>
      </c>
      <c r="J24" s="8" t="s">
        <v>130</v>
      </c>
    </row>
    <row r="25" ht="69.75" customHeight="1">
      <c r="A25" s="2">
        <v>24.0</v>
      </c>
      <c r="B25" s="18" t="s">
        <v>112</v>
      </c>
      <c r="C25" s="15" t="s">
        <v>76</v>
      </c>
      <c r="D25" s="5" t="s">
        <v>122</v>
      </c>
      <c r="E25" s="12" t="s">
        <v>45</v>
      </c>
      <c r="F25" s="2" t="s">
        <v>131</v>
      </c>
      <c r="G25" s="2" t="s">
        <v>128</v>
      </c>
      <c r="H25" s="2" t="s">
        <v>132</v>
      </c>
      <c r="I25" s="7" t="s">
        <v>30</v>
      </c>
      <c r="J25" s="8"/>
    </row>
    <row r="26" ht="69.75" customHeight="1">
      <c r="A26" s="2">
        <v>25.0</v>
      </c>
      <c r="B26" s="20" t="s">
        <v>133</v>
      </c>
      <c r="C26" s="9" t="s">
        <v>25</v>
      </c>
      <c r="D26" s="5" t="s">
        <v>134</v>
      </c>
      <c r="E26" s="12" t="s">
        <v>135</v>
      </c>
      <c r="F26" s="2" t="s">
        <v>136</v>
      </c>
      <c r="G26" s="2" t="s">
        <v>56</v>
      </c>
      <c r="H26" s="2" t="s">
        <v>137</v>
      </c>
      <c r="I26" s="7" t="s">
        <v>138</v>
      </c>
      <c r="J26" s="8" t="s">
        <v>139</v>
      </c>
    </row>
    <row r="27" ht="69.75" customHeight="1">
      <c r="A27" s="2">
        <v>26.0</v>
      </c>
      <c r="B27" s="20" t="s">
        <v>133</v>
      </c>
      <c r="C27" s="4" t="s">
        <v>11</v>
      </c>
      <c r="D27" s="5" t="s">
        <v>140</v>
      </c>
      <c r="E27" s="12" t="s">
        <v>135</v>
      </c>
      <c r="F27" s="2" t="s">
        <v>141</v>
      </c>
      <c r="G27" s="2" t="s">
        <v>142</v>
      </c>
      <c r="H27" s="2" t="s">
        <v>143</v>
      </c>
      <c r="I27" s="7" t="s">
        <v>144</v>
      </c>
      <c r="J27" s="8" t="s">
        <v>145</v>
      </c>
    </row>
    <row r="28" ht="69.75" customHeight="1">
      <c r="A28" s="2">
        <v>27.0</v>
      </c>
      <c r="B28" s="20" t="s">
        <v>133</v>
      </c>
      <c r="C28" s="15" t="s">
        <v>76</v>
      </c>
      <c r="D28" s="5" t="s">
        <v>146</v>
      </c>
      <c r="E28" s="12" t="s">
        <v>135</v>
      </c>
      <c r="F28" s="2" t="s">
        <v>147</v>
      </c>
      <c r="G28" s="2" t="s">
        <v>148</v>
      </c>
      <c r="H28" s="2" t="s">
        <v>149</v>
      </c>
      <c r="I28" s="7" t="s">
        <v>150</v>
      </c>
      <c r="J28" s="8" t="s">
        <v>151</v>
      </c>
    </row>
    <row r="29" ht="69.75" customHeight="1">
      <c r="A29" s="2">
        <v>28.0</v>
      </c>
      <c r="B29" s="21" t="s">
        <v>152</v>
      </c>
      <c r="C29" s="9" t="s">
        <v>25</v>
      </c>
      <c r="D29" s="5" t="s">
        <v>153</v>
      </c>
      <c r="E29" s="12" t="s">
        <v>154</v>
      </c>
      <c r="F29" s="2" t="s">
        <v>155</v>
      </c>
      <c r="G29" s="2" t="s">
        <v>156</v>
      </c>
      <c r="H29" s="2" t="s">
        <v>157</v>
      </c>
      <c r="I29" s="7" t="s">
        <v>138</v>
      </c>
      <c r="J29" s="8" t="s">
        <v>158</v>
      </c>
    </row>
    <row r="30" ht="69.75" customHeight="1">
      <c r="A30" s="2">
        <v>29.0</v>
      </c>
      <c r="B30" s="21" t="s">
        <v>152</v>
      </c>
      <c r="C30" s="4" t="s">
        <v>11</v>
      </c>
      <c r="D30" s="5" t="s">
        <v>153</v>
      </c>
      <c r="E30" s="12" t="s">
        <v>154</v>
      </c>
      <c r="F30" s="2" t="s">
        <v>159</v>
      </c>
      <c r="G30" s="2" t="s">
        <v>160</v>
      </c>
      <c r="H30" s="2" t="s">
        <v>161</v>
      </c>
      <c r="I30" s="7" t="s">
        <v>144</v>
      </c>
      <c r="J30" s="8"/>
    </row>
    <row r="31" ht="69.75" customHeight="1">
      <c r="A31" s="2">
        <v>30.0</v>
      </c>
      <c r="B31" s="21" t="s">
        <v>152</v>
      </c>
      <c r="C31" s="9" t="s">
        <v>25</v>
      </c>
      <c r="D31" s="5" t="s">
        <v>162</v>
      </c>
      <c r="E31" s="12" t="s">
        <v>154</v>
      </c>
      <c r="F31" s="2" t="s">
        <v>163</v>
      </c>
      <c r="G31" s="2" t="s">
        <v>164</v>
      </c>
      <c r="H31" s="2" t="s">
        <v>165</v>
      </c>
      <c r="I31" s="7" t="s">
        <v>150</v>
      </c>
      <c r="J31" s="8"/>
    </row>
    <row r="32" ht="69.75" customHeight="1">
      <c r="A32" s="2">
        <v>31.0</v>
      </c>
      <c r="B32" s="21" t="s">
        <v>152</v>
      </c>
      <c r="C32" s="14" t="s">
        <v>67</v>
      </c>
      <c r="D32" s="5" t="s">
        <v>162</v>
      </c>
      <c r="E32" s="12" t="s">
        <v>154</v>
      </c>
      <c r="F32" s="2" t="s">
        <v>166</v>
      </c>
      <c r="G32" s="2" t="s">
        <v>167</v>
      </c>
      <c r="H32" s="2" t="s">
        <v>168</v>
      </c>
      <c r="I32" s="7" t="s">
        <v>150</v>
      </c>
      <c r="J32" s="8" t="s">
        <v>169</v>
      </c>
    </row>
    <row r="33" ht="69.75" customHeight="1">
      <c r="A33" s="2">
        <v>32.0</v>
      </c>
      <c r="B33" s="22" t="s">
        <v>170</v>
      </c>
      <c r="C33" s="9" t="s">
        <v>25</v>
      </c>
      <c r="D33" s="5" t="s">
        <v>171</v>
      </c>
      <c r="E33" s="11" t="s">
        <v>33</v>
      </c>
      <c r="F33" s="2" t="s">
        <v>172</v>
      </c>
      <c r="G33" s="2" t="s">
        <v>56</v>
      </c>
      <c r="H33" s="2" t="s">
        <v>173</v>
      </c>
      <c r="I33" s="7" t="s">
        <v>174</v>
      </c>
      <c r="J33" s="8" t="s">
        <v>175</v>
      </c>
    </row>
    <row r="34" ht="69.75" customHeight="1">
      <c r="A34" s="2">
        <v>33.0</v>
      </c>
      <c r="B34" s="22" t="s">
        <v>170</v>
      </c>
      <c r="C34" s="9" t="s">
        <v>25</v>
      </c>
      <c r="D34" s="5" t="s">
        <v>176</v>
      </c>
      <c r="E34" s="11" t="s">
        <v>33</v>
      </c>
      <c r="F34" s="2" t="s">
        <v>177</v>
      </c>
      <c r="G34" s="2" t="s">
        <v>56</v>
      </c>
      <c r="H34" s="2" t="s">
        <v>178</v>
      </c>
      <c r="I34" s="7" t="s">
        <v>174</v>
      </c>
      <c r="J34" s="8" t="s">
        <v>179</v>
      </c>
    </row>
    <row r="35" ht="69.75" customHeight="1">
      <c r="A35" s="2">
        <v>34.0</v>
      </c>
      <c r="B35" s="22" t="s">
        <v>170</v>
      </c>
      <c r="C35" s="9" t="s">
        <v>25</v>
      </c>
      <c r="D35" s="5" t="s">
        <v>180</v>
      </c>
      <c r="E35" s="11" t="s">
        <v>33</v>
      </c>
      <c r="F35" s="2" t="s">
        <v>181</v>
      </c>
      <c r="G35" s="2" t="s">
        <v>56</v>
      </c>
      <c r="H35" s="2" t="s">
        <v>182</v>
      </c>
      <c r="I35" s="7" t="s">
        <v>183</v>
      </c>
      <c r="J35" s="8" t="s">
        <v>184</v>
      </c>
    </row>
    <row r="36" ht="69.75" customHeight="1">
      <c r="A36" s="2">
        <v>35.0</v>
      </c>
      <c r="B36" s="22" t="s">
        <v>170</v>
      </c>
      <c r="C36" s="9" t="s">
        <v>25</v>
      </c>
      <c r="D36" s="5" t="s">
        <v>185</v>
      </c>
      <c r="E36" s="12" t="s">
        <v>154</v>
      </c>
      <c r="F36" s="2" t="s">
        <v>186</v>
      </c>
      <c r="G36" s="2" t="s">
        <v>56</v>
      </c>
      <c r="H36" s="2" t="s">
        <v>187</v>
      </c>
      <c r="I36" s="7" t="s">
        <v>138</v>
      </c>
      <c r="J36" s="8" t="s">
        <v>188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5.0"/>
    <col customWidth="1" min="4" max="4" width="40.0"/>
    <col customWidth="1" min="5" max="5" width="50.0"/>
    <col customWidth="1" min="6" max="26" width="8.71"/>
  </cols>
  <sheetData>
    <row r="1" ht="27.75" customHeight="1">
      <c r="A1" s="23" t="s">
        <v>189</v>
      </c>
      <c r="B1" s="23" t="s">
        <v>190</v>
      </c>
      <c r="C1" s="23" t="s">
        <v>191</v>
      </c>
      <c r="D1" s="23" t="s">
        <v>192</v>
      </c>
      <c r="E1" s="23" t="s">
        <v>193</v>
      </c>
    </row>
    <row r="2" ht="31.5" customHeight="1">
      <c r="A2" s="24">
        <v>200.0</v>
      </c>
      <c r="B2" s="25" t="s">
        <v>194</v>
      </c>
      <c r="C2" s="26" t="s">
        <v>195</v>
      </c>
      <c r="D2" s="27" t="s">
        <v>196</v>
      </c>
      <c r="E2" s="28" t="s">
        <v>197</v>
      </c>
    </row>
    <row r="3" ht="31.5" customHeight="1">
      <c r="A3" s="24">
        <v>201.0</v>
      </c>
      <c r="B3" s="25" t="s">
        <v>198</v>
      </c>
      <c r="C3" s="26" t="s">
        <v>195</v>
      </c>
      <c r="D3" s="27" t="s">
        <v>199</v>
      </c>
      <c r="E3" s="28" t="s">
        <v>200</v>
      </c>
    </row>
    <row r="4" ht="31.5" customHeight="1">
      <c r="A4" s="24">
        <v>202.0</v>
      </c>
      <c r="B4" s="25" t="s">
        <v>201</v>
      </c>
      <c r="C4" s="26" t="s">
        <v>195</v>
      </c>
      <c r="D4" s="27" t="s">
        <v>202</v>
      </c>
      <c r="E4" s="28" t="s">
        <v>203</v>
      </c>
    </row>
    <row r="5" ht="31.5" customHeight="1">
      <c r="A5" s="24">
        <v>400.0</v>
      </c>
      <c r="B5" s="25" t="s">
        <v>204</v>
      </c>
      <c r="C5" s="29" t="s">
        <v>205</v>
      </c>
      <c r="D5" s="27" t="s">
        <v>206</v>
      </c>
      <c r="E5" s="28" t="s">
        <v>207</v>
      </c>
    </row>
    <row r="6" ht="31.5" customHeight="1">
      <c r="A6" s="24">
        <v>401.0</v>
      </c>
      <c r="B6" s="25" t="s">
        <v>208</v>
      </c>
      <c r="C6" s="29" t="s">
        <v>205</v>
      </c>
      <c r="D6" s="27" t="s">
        <v>209</v>
      </c>
      <c r="E6" s="28" t="s">
        <v>210</v>
      </c>
    </row>
    <row r="7" ht="31.5" customHeight="1">
      <c r="A7" s="24">
        <v>403.0</v>
      </c>
      <c r="B7" s="25" t="s">
        <v>211</v>
      </c>
      <c r="C7" s="29" t="s">
        <v>205</v>
      </c>
      <c r="D7" s="27" t="s">
        <v>212</v>
      </c>
      <c r="E7" s="28" t="s">
        <v>213</v>
      </c>
    </row>
    <row r="8" ht="31.5" customHeight="1">
      <c r="A8" s="24">
        <v>404.0</v>
      </c>
      <c r="B8" s="25" t="s">
        <v>214</v>
      </c>
      <c r="C8" s="29" t="s">
        <v>205</v>
      </c>
      <c r="D8" s="27" t="s">
        <v>215</v>
      </c>
      <c r="E8" s="28" t="s">
        <v>216</v>
      </c>
    </row>
    <row r="9" ht="31.5" customHeight="1">
      <c r="A9" s="24">
        <v>409.0</v>
      </c>
      <c r="B9" s="25" t="s">
        <v>217</v>
      </c>
      <c r="C9" s="29" t="s">
        <v>205</v>
      </c>
      <c r="D9" s="27" t="s">
        <v>218</v>
      </c>
      <c r="E9" s="28" t="s">
        <v>219</v>
      </c>
    </row>
    <row r="10" ht="31.5" customHeight="1">
      <c r="A10" s="24">
        <v>413.0</v>
      </c>
      <c r="B10" s="25" t="s">
        <v>220</v>
      </c>
      <c r="C10" s="29" t="s">
        <v>205</v>
      </c>
      <c r="D10" s="27" t="s">
        <v>221</v>
      </c>
      <c r="E10" s="28" t="s">
        <v>222</v>
      </c>
    </row>
    <row r="11" ht="31.5" customHeight="1">
      <c r="A11" s="24">
        <v>422.0</v>
      </c>
      <c r="B11" s="25" t="s">
        <v>223</v>
      </c>
      <c r="C11" s="29" t="s">
        <v>205</v>
      </c>
      <c r="D11" s="27" t="s">
        <v>224</v>
      </c>
      <c r="E11" s="28" t="s">
        <v>225</v>
      </c>
    </row>
    <row r="12" ht="31.5" customHeight="1">
      <c r="A12" s="24">
        <v>429.0</v>
      </c>
      <c r="B12" s="25" t="s">
        <v>226</v>
      </c>
      <c r="C12" s="29" t="s">
        <v>205</v>
      </c>
      <c r="D12" s="27" t="s">
        <v>227</v>
      </c>
      <c r="E12" s="28" t="s">
        <v>228</v>
      </c>
    </row>
    <row r="13" ht="31.5" customHeight="1">
      <c r="A13" s="24">
        <v>500.0</v>
      </c>
      <c r="B13" s="25" t="s">
        <v>229</v>
      </c>
      <c r="C13" s="30" t="s">
        <v>230</v>
      </c>
      <c r="D13" s="27" t="s">
        <v>231</v>
      </c>
      <c r="E13" s="28" t="s">
        <v>232</v>
      </c>
    </row>
    <row r="14" ht="31.5" customHeight="1">
      <c r="A14" s="24">
        <v>503.0</v>
      </c>
      <c r="B14" s="25" t="s">
        <v>233</v>
      </c>
      <c r="C14" s="30" t="s">
        <v>230</v>
      </c>
      <c r="D14" s="27" t="s">
        <v>234</v>
      </c>
      <c r="E14" s="28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35.0"/>
    <col customWidth="1" min="4" max="26" width="8.71"/>
  </cols>
  <sheetData>
    <row r="1">
      <c r="A1" s="31" t="s">
        <v>236</v>
      </c>
    </row>
    <row r="3">
      <c r="A3" s="32" t="s">
        <v>237</v>
      </c>
      <c r="B3" s="32" t="s">
        <v>238</v>
      </c>
      <c r="C3" s="32" t="s">
        <v>239</v>
      </c>
    </row>
    <row r="4">
      <c r="A4" s="33" t="s">
        <v>240</v>
      </c>
      <c r="B4" s="34">
        <f>COUNTA('Endpoints Overview'!D2:D40)</f>
        <v>35</v>
      </c>
      <c r="C4" s="35"/>
    </row>
    <row r="5">
      <c r="A5" s="36" t="s">
        <v>241</v>
      </c>
      <c r="B5" s="34">
        <f>COUNTIF('Endpoints Overview'!C2:C40,"GET")</f>
        <v>18</v>
      </c>
      <c r="C5" s="35" t="s">
        <v>242</v>
      </c>
    </row>
    <row r="6">
      <c r="A6" s="36" t="s">
        <v>243</v>
      </c>
      <c r="B6" s="34">
        <f>COUNTIF('Endpoints Overview'!C2:C40,"POST")</f>
        <v>11</v>
      </c>
      <c r="C6" s="35" t="s">
        <v>244</v>
      </c>
    </row>
    <row r="7">
      <c r="A7" s="36" t="s">
        <v>245</v>
      </c>
      <c r="B7" s="34">
        <f>COUNTIF('Endpoints Overview'!C2:C40,"PUT")</f>
        <v>1</v>
      </c>
      <c r="C7" s="35" t="s">
        <v>246</v>
      </c>
    </row>
    <row r="8">
      <c r="A8" s="36" t="s">
        <v>247</v>
      </c>
      <c r="B8" s="34">
        <f>COUNTIF('Endpoints Overview'!C2:C40,"PATCH")</f>
        <v>2</v>
      </c>
      <c r="C8" s="35" t="s">
        <v>248</v>
      </c>
    </row>
    <row r="9">
      <c r="A9" s="36" t="s">
        <v>249</v>
      </c>
      <c r="B9" s="34">
        <f>COUNTIF('Endpoints Overview'!C2:C40,"DELETE")</f>
        <v>3</v>
      </c>
      <c r="C9" s="35" t="s">
        <v>250</v>
      </c>
    </row>
    <row r="10">
      <c r="A10" s="36"/>
      <c r="B10" s="34"/>
      <c r="C10" s="35"/>
    </row>
    <row r="11">
      <c r="A11" s="36" t="s">
        <v>251</v>
      </c>
      <c r="B11" s="34">
        <f>COUNTIF('Endpoints Overview'!E2:E40,"None")</f>
        <v>5</v>
      </c>
      <c r="C11" s="35" t="s">
        <v>252</v>
      </c>
    </row>
    <row r="12">
      <c r="A12" s="36" t="s">
        <v>253</v>
      </c>
      <c r="B12" s="34">
        <f>COUNTIF('Endpoints Overview'!E2:E40,"API Key")</f>
        <v>3</v>
      </c>
      <c r="C12" s="35" t="s">
        <v>254</v>
      </c>
    </row>
    <row r="13">
      <c r="A13" s="36" t="s">
        <v>255</v>
      </c>
      <c r="B13" s="34">
        <f>COUNTIF('Endpoints Overview'!E2:E40,"JWT")</f>
        <v>19</v>
      </c>
      <c r="C13" s="35" t="s">
        <v>256</v>
      </c>
    </row>
    <row r="14">
      <c r="A14" s="36" t="s">
        <v>257</v>
      </c>
      <c r="B14" s="34">
        <f>COUNTIF('Endpoints Overview'!E2:E40,"JWT (admin)")</f>
        <v>3</v>
      </c>
      <c r="C14" s="35" t="s">
        <v>258</v>
      </c>
    </row>
    <row r="15">
      <c r="A15" s="36" t="s">
        <v>259</v>
      </c>
      <c r="B15" s="34">
        <f>COUNTIF('Endpoints Overview'!E2:E40,"JWT (sysadmin)")</f>
        <v>5</v>
      </c>
      <c r="C15" s="35" t="s">
        <v>260</v>
      </c>
    </row>
    <row r="16">
      <c r="A16" s="36"/>
      <c r="B16" s="34"/>
      <c r="C16" s="35"/>
    </row>
    <row r="17">
      <c r="A17" s="33" t="s">
        <v>261</v>
      </c>
      <c r="B17" s="34">
        <f>COUNTIF('Endpoints Overview'!B2:B40,"Detection")</f>
        <v>3</v>
      </c>
      <c r="C17" s="35" t="s">
        <v>262</v>
      </c>
    </row>
    <row r="18">
      <c r="A18" s="33" t="s">
        <v>263</v>
      </c>
      <c r="B18" s="34">
        <f>COUNTIF('Endpoints Overview'!B2:B40,"Auth")</f>
        <v>4</v>
      </c>
      <c r="C18" s="35"/>
    </row>
    <row r="19">
      <c r="A19" s="33" t="s">
        <v>264</v>
      </c>
      <c r="B19" s="34">
        <f>COUNTIF('Endpoints Overview'!B2:B40,"API Keys")</f>
        <v>6</v>
      </c>
      <c r="C19" s="35"/>
    </row>
    <row r="20">
      <c r="A20" s="33" t="s">
        <v>265</v>
      </c>
      <c r="B20" s="34">
        <f>COUNTIF('Endpoints Overview'!B2:B40,"History")</f>
        <v>3</v>
      </c>
      <c r="C20" s="35"/>
    </row>
    <row r="21" ht="15.75" customHeight="1">
      <c r="A21" s="33" t="s">
        <v>266</v>
      </c>
      <c r="B21" s="34">
        <f>COUNTIF('Endpoints Overview'!B2:B40,"Analytics")</f>
        <v>3</v>
      </c>
      <c r="C21" s="35"/>
    </row>
    <row r="22" ht="15.75" customHeight="1">
      <c r="A22" s="33" t="s">
        <v>267</v>
      </c>
      <c r="B22" s="34">
        <f>COUNTIF('Endpoints Overview'!B2:B40,"Webhooks")</f>
        <v>5</v>
      </c>
      <c r="C22" s="35"/>
    </row>
    <row r="23" ht="15.75" customHeight="1">
      <c r="A23" s="33" t="s">
        <v>268</v>
      </c>
      <c r="B23" s="34">
        <f>COUNTIF('Endpoints Overview'!B2:B40,"Users")</f>
        <v>3</v>
      </c>
      <c r="C23" s="35"/>
    </row>
    <row r="24" ht="15.75" customHeight="1">
      <c r="A24" s="33" t="s">
        <v>269</v>
      </c>
      <c r="B24" s="34">
        <f>COUNTIF('Endpoints Overview'!B2:B40,"Admin")</f>
        <v>4</v>
      </c>
      <c r="C24" s="35"/>
    </row>
    <row r="25" ht="15.75" customHeight="1">
      <c r="A25" s="33" t="s">
        <v>270</v>
      </c>
      <c r="B25" s="34">
        <f>COUNTIF('Endpoints Overview'!B2:B40,"System")</f>
        <v>4</v>
      </c>
      <c r="C25" s="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